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9fd7ee5b7ad46d4/Desktop/"/>
    </mc:Choice>
  </mc:AlternateContent>
  <xr:revisionPtr revIDLastSave="2251" documentId="8_{193EF663-CC15-44AA-8E19-C7558685B6E9}" xr6:coauthVersionLast="45" xr6:coauthVersionMax="45" xr10:uidLastSave="{3E2E71F7-1099-4DC5-8054-7647A6643A04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Methods" sheetId="4" r:id="rId5"/>
    <sheet name="Pics" sheetId="6" r:id="rId6"/>
    <sheet name="Compare" sheetId="7" r:id="rId7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G9" i="7"/>
  <c r="G10" i="7"/>
  <c r="G11" i="7"/>
  <c r="G12" i="7"/>
  <c r="G13" i="7"/>
  <c r="G2" i="7"/>
</calcChain>
</file>

<file path=xl/sharedStrings.xml><?xml version="1.0" encoding="utf-8"?>
<sst xmlns="http://schemas.openxmlformats.org/spreadsheetml/2006/main" count="12122" uniqueCount="543">
  <si>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</si>
  <si>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</si>
  <si>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</si>
  <si>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</si>
  <si>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</si>
  <si>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</si>
  <si>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</si>
  <si>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</si>
  <si>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</si>
  <si>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</si>
  <si>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</si>
  <si>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</si>
  <si>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</si>
  <si>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</si>
  <si>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</si>
  <si>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</si>
  <si>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</si>
  <si>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</si>
  <si>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</si>
  <si>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</si>
  <si>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</si>
  <si>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</si>
  <si>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</si>
  <si>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</si>
  <si>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</si>
  <si>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</si>
  <si>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</si>
  <si>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</si>
  <si>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</si>
  <si>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</si>
  <si>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</si>
  <si>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</si>
  <si>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</si>
  <si>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</si>
  <si>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</si>
  <si>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</si>
  <si>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</si>
  <si>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</si>
  <si>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</si>
  <si>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</si>
  <si>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</si>
  <si>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</si>
  <si>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</si>
  <si>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</si>
  <si>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</si>
  <si>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</si>
  <si>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</si>
  <si>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</si>
  <si>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</si>
  <si>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</si>
  <si>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</si>
  <si>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</si>
  <si>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</si>
  <si>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</si>
  <si>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</si>
  <si>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</si>
  <si>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</si>
  <si>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</si>
  <si>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</si>
  <si>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</si>
  <si>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</si>
  <si>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</si>
  <si>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</si>
  <si>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</si>
  <si>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</si>
  <si>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</si>
  <si>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</si>
  <si>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</si>
  <si>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</si>
  <si>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</si>
  <si>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</si>
  <si>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</si>
  <si>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</si>
  <si>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</si>
  <si>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</si>
  <si>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</si>
  <si>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</si>
  <si>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</si>
  <si>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</si>
  <si>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</si>
  <si>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</si>
  <si>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</si>
  <si>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</si>
  <si>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</si>
  <si>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</si>
  <si>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</si>
  <si>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</si>
  <si>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</si>
  <si>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</si>
  <si>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</si>
  <si>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</si>
  <si>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</si>
  <si>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</si>
  <si>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</si>
  <si>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</si>
  <si>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</si>
  <si>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</si>
  <si>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</si>
  <si>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</si>
  <si>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</si>
  <si>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</si>
  <si>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</si>
  <si>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</si>
  <si>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</si>
  <si>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</si>
  <si>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</si>
  <si>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</si>
  <si>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</si>
  <si>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</si>
  <si>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</si>
  <si>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</si>
  <si>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</si>
  <si>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</si>
  <si>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</si>
  <si>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</si>
  <si>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</si>
  <si>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</si>
  <si>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</si>
  <si>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</si>
  <si>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</si>
  <si>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</si>
  <si>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</si>
  <si>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</si>
  <si>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</si>
  <si>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</si>
  <si>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</si>
  <si>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</si>
  <si>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</si>
  <si>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</si>
  <si>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</si>
  <si>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</si>
  <si>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</si>
  <si>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</si>
  <si>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</si>
  <si>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</si>
  <si>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</si>
  <si>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</si>
  <si>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</si>
  <si>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</si>
  <si>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</si>
  <si>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</si>
  <si>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</si>
  <si>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</si>
  <si>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</si>
  <si>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</si>
  <si>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</si>
  <si>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</si>
  <si>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</si>
  <si>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</si>
  <si>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</si>
  <si>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</si>
  <si>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</si>
  <si>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</si>
  <si>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</si>
  <si>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</si>
  <si>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</si>
  <si>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</si>
  <si>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</si>
  <si>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</si>
  <si>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</si>
  <si>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</si>
  <si>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</si>
  <si>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</si>
  <si>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</si>
  <si>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</si>
  <si>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</si>
  <si>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</si>
  <si>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</si>
  <si>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</si>
  <si>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</si>
  <si>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</si>
  <si>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</si>
  <si>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</si>
  <si>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</si>
  <si>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</si>
  <si>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</si>
  <si>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</si>
  <si>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</si>
  <si>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</si>
  <si>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</si>
  <si>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</si>
  <si>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</si>
  <si>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</si>
  <si>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</si>
  <si>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</si>
  <si>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</si>
  <si>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</si>
  <si>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</si>
  <si>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</si>
  <si>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</si>
  <si>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</si>
  <si>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</si>
  <si>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</si>
  <si>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</si>
  <si>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</si>
  <si>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</si>
  <si>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</si>
  <si>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</si>
  <si>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</si>
  <si>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</si>
  <si>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</si>
  <si>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</si>
  <si>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</si>
  <si>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</si>
  <si>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</si>
  <si>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</si>
  <si>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</si>
  <si>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</si>
  <si>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</si>
  <si>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</si>
  <si>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</si>
  <si>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</si>
  <si>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</si>
  <si>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</si>
  <si>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</si>
  <si>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</si>
  <si>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</si>
  <si>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</si>
  <si>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</si>
  <si>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</si>
  <si>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</si>
  <si>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</si>
  <si>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</si>
  <si>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</si>
  <si>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</si>
  <si>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</si>
  <si>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</si>
  <si>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</si>
  <si>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</si>
  <si>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</si>
  <si>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</si>
  <si>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</si>
  <si>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</si>
  <si>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</si>
  <si>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</si>
  <si>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</si>
  <si>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</si>
  <si>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</si>
  <si>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</si>
  <si>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</si>
  <si>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</si>
  <si>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</si>
  <si>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</si>
  <si>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</si>
  <si>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</si>
  <si>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</si>
  <si>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</si>
  <si>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</si>
  <si>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</si>
  <si>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</si>
  <si>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</si>
  <si>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</si>
  <si>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</si>
  <si>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</si>
  <si>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</si>
  <si>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</si>
  <si>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</si>
  <si>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</si>
  <si>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</si>
  <si>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</si>
  <si>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</si>
  <si>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</si>
  <si>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</si>
  <si>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</si>
  <si>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</si>
  <si>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</si>
  <si>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</si>
  <si>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</si>
  <si>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</si>
  <si>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</si>
  <si>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</si>
  <si>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</si>
  <si>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</si>
  <si>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</si>
  <si>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</si>
  <si>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</si>
  <si>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</si>
  <si>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</si>
  <si>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</si>
  <si>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</si>
  <si>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</si>
  <si>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</si>
  <si>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</si>
  <si>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</si>
  <si>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</si>
  <si>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</si>
  <si>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</si>
  <si>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</si>
  <si>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</si>
  <si>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</si>
  <si>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</si>
  <si>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</si>
  <si>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</si>
  <si>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</si>
  <si>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</si>
  <si>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</si>
  <si>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</si>
  <si>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</si>
  <si>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</si>
  <si>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</si>
  <si>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</si>
  <si>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</si>
  <si>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</si>
  <si>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</si>
  <si>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</si>
  <si>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</si>
  <si>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</si>
  <si>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</si>
  <si>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</si>
  <si>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</si>
  <si>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</si>
  <si>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</si>
  <si>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</si>
  <si>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</si>
  <si>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</si>
  <si>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</si>
  <si>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</si>
  <si>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</si>
  <si>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</si>
  <si>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</si>
  <si>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</si>
  <si>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</si>
  <si>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</si>
  <si>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</si>
  <si>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</si>
  <si>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</si>
  <si>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</si>
  <si>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</si>
  <si>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</si>
  <si>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</si>
  <si>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</si>
  <si>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</si>
  <si>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</si>
  <si>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</si>
  <si>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</si>
  <si>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</si>
  <si>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</si>
  <si>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</si>
  <si>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</si>
  <si>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</si>
  <si>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</si>
  <si>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</si>
  <si>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</si>
  <si>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</si>
  <si>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</si>
  <si>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</si>
  <si>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</si>
  <si>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</si>
  <si>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</si>
  <si>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</si>
  <si>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</si>
  <si>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</si>
  <si>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</si>
  <si>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</si>
  <si>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</si>
  <si>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</si>
  <si>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</si>
  <si>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</si>
  <si>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</si>
  <si>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</si>
  <si>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</si>
  <si>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</si>
  <si>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</si>
  <si>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</si>
  <si>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</si>
  <si>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</si>
  <si>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</si>
  <si>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</si>
  <si>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</si>
  <si>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</si>
  <si>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</si>
  <si>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</si>
  <si>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</si>
  <si>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</si>
  <si>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</si>
  <si>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</si>
  <si>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</si>
  <si>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</si>
  <si>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</si>
  <si>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</si>
  <si>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</si>
  <si>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</si>
  <si>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</si>
  <si>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</si>
  <si>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</si>
  <si>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</si>
  <si>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</si>
  <si>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</si>
  <si>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</si>
  <si>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</si>
  <si>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</si>
  <si>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</si>
  <si>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</si>
  <si>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</si>
  <si>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</si>
  <si>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</si>
  <si>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</si>
  <si>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</si>
  <si>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</si>
  <si>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</si>
  <si>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</si>
  <si>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</si>
  <si>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</si>
  <si>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</si>
  <si>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</si>
  <si>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</si>
  <si>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</si>
  <si>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</si>
  <si>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</si>
  <si>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</si>
  <si>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</si>
  <si>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</si>
  <si>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</si>
  <si>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</si>
  <si>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</si>
  <si>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</si>
  <si>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</si>
  <si>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</si>
  <si>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</si>
  <si>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</si>
  <si>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</si>
  <si>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</si>
  <si>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</si>
  <si>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</si>
  <si>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</si>
  <si>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</si>
  <si>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</si>
  <si>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</si>
  <si>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</si>
  <si>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</si>
  <si>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</si>
  <si>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</si>
  <si>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</si>
  <si>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</si>
  <si>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</si>
  <si>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</si>
  <si>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</si>
  <si>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</si>
  <si>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</si>
  <si>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</si>
  <si>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</si>
  <si>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</si>
  <si>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</si>
  <si>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</si>
  <si>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</si>
  <si>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</si>
  <si>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</si>
  <si>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</si>
  <si>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</si>
  <si>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</si>
  <si>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</si>
  <si>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</si>
  <si>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</si>
  <si>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</si>
  <si>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</si>
  <si>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</si>
  <si>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</si>
  <si>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</si>
  <si>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</si>
  <si>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</si>
  <si>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</si>
  <si>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</si>
  <si>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</si>
  <si>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</si>
  <si>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</si>
  <si>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</si>
  <si>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</si>
  <si>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</si>
  <si>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</si>
  <si>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</si>
  <si>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</si>
  <si>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</si>
  <si>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</si>
  <si>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</si>
  <si>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</si>
  <si>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</si>
  <si>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</si>
  <si>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</si>
  <si>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</si>
  <si>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</si>
  <si>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</si>
  <si>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</si>
  <si>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</si>
  <si>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</si>
  <si>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</si>
  <si>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</si>
  <si>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</si>
  <si>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</si>
  <si>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</si>
  <si>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</si>
  <si>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</si>
  <si>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</si>
  <si>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</si>
  <si>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</si>
  <si>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</si>
  <si>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</si>
  <si>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</si>
  <si>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</si>
  <si>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</si>
  <si>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</si>
  <si>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</si>
  <si>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</si>
  <si>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</si>
  <si>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</si>
  <si>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</si>
  <si>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</si>
  <si>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</si>
  <si>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</si>
  <si>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</si>
  <si>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</si>
  <si>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</si>
  <si>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</si>
  <si>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</si>
  <si>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</si>
  <si>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</si>
  <si>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</si>
  <si>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</si>
  <si>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</si>
  <si>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</si>
  <si>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</si>
  <si>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</si>
  <si>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</si>
  <si>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</si>
  <si>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</si>
  <si>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r>
      <t>Sub</t>
    </r>
    <r>
      <rPr>
        <sz val="10"/>
        <color rgb="FF000000"/>
        <rFont val="Consolas"/>
        <family val="3"/>
      </rPr>
      <t xml:space="preserve"> DQAnalysis()</t>
    </r>
  </si>
  <si>
    <r>
      <t xml:space="preserve">    Worksheets(</t>
    </r>
    <r>
      <rPr>
        <sz val="10"/>
        <color rgb="FF365200"/>
        <rFont val="Consolas"/>
        <family val="3"/>
      </rPr>
      <t>"DQ Analysis"</t>
    </r>
    <r>
      <rPr>
        <sz val="10"/>
        <color rgb="FF000000"/>
        <rFont val="Consolas"/>
        <family val="3"/>
      </rPr>
      <t>).Activate</t>
    </r>
  </si>
  <si>
    <r>
      <t xml:space="preserve">    Range(</t>
    </r>
    <r>
      <rPr>
        <sz val="10"/>
        <color rgb="FF365200"/>
        <rFont val="Consolas"/>
        <family val="3"/>
      </rPr>
      <t>"A1"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"DAQO (Ticker: DQ)"</t>
    </r>
  </si>
  <si>
    <r>
      <t xml:space="preserve">    Cells(</t>
    </r>
    <r>
      <rPr>
        <sz val="10"/>
        <color rgb="FF990055"/>
        <rFont val="Consolas"/>
        <family val="3"/>
      </rPr>
      <t>3</t>
    </r>
    <r>
      <rPr>
        <sz val="10"/>
        <color rgb="FF000000"/>
        <rFont val="Consolas"/>
        <family val="3"/>
      </rPr>
      <t xml:space="preserve">, </t>
    </r>
    <r>
      <rPr>
        <sz val="10"/>
        <color rgb="FF990055"/>
        <rFont val="Consolas"/>
        <family val="3"/>
      </rPr>
      <t>1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"Year"</t>
    </r>
  </si>
  <si>
    <r>
      <t xml:space="preserve">    Cells(</t>
    </r>
    <r>
      <rPr>
        <sz val="10"/>
        <color rgb="FF990055"/>
        <rFont val="Consolas"/>
        <family val="3"/>
      </rPr>
      <t>3</t>
    </r>
    <r>
      <rPr>
        <sz val="10"/>
        <color rgb="FF000000"/>
        <rFont val="Consolas"/>
        <family val="3"/>
      </rPr>
      <t xml:space="preserve">, </t>
    </r>
    <r>
      <rPr>
        <sz val="10"/>
        <color rgb="FF990055"/>
        <rFont val="Consolas"/>
        <family val="3"/>
      </rPr>
      <t>2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"Total Daily Volume"</t>
    </r>
  </si>
  <si>
    <r>
      <t xml:space="preserve">    Cells(</t>
    </r>
    <r>
      <rPr>
        <sz val="10"/>
        <color rgb="FF990055"/>
        <rFont val="Consolas"/>
        <family val="3"/>
      </rPr>
      <t>3</t>
    </r>
    <r>
      <rPr>
        <sz val="10"/>
        <color rgb="FF000000"/>
        <rFont val="Consolas"/>
        <family val="3"/>
      </rPr>
      <t xml:space="preserve">, </t>
    </r>
    <r>
      <rPr>
        <sz val="10"/>
        <color rgb="FF990055"/>
        <rFont val="Consolas"/>
        <family val="3"/>
      </rPr>
      <t>3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"Return"</t>
    </r>
  </si>
  <si>
    <r>
      <t>End</t>
    </r>
    <r>
      <rPr>
        <sz val="10"/>
        <color rgb="FF000000"/>
        <rFont val="Consolas"/>
        <family val="3"/>
      </rPr>
      <t xml:space="preserve"> </t>
    </r>
    <r>
      <rPr>
        <sz val="10"/>
        <color rgb="FF005275"/>
        <rFont val="Consolas"/>
        <family val="3"/>
      </rPr>
      <t>Sub</t>
    </r>
  </si>
  <si>
    <r>
      <t xml:space="preserve">    Range(</t>
    </r>
    <r>
      <rPr>
        <sz val="10"/>
        <color rgb="FF365200"/>
        <rFont val="Consolas"/>
        <family val="3"/>
      </rPr>
      <t>"A3"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"Year"</t>
    </r>
  </si>
  <si>
    <r>
      <t xml:space="preserve">    Range(</t>
    </r>
    <r>
      <rPr>
        <sz val="10"/>
        <color rgb="FF365200"/>
        <rFont val="Consolas"/>
        <family val="3"/>
      </rPr>
      <t>"B3"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"Total Daily Volume"</t>
    </r>
  </si>
  <si>
    <r>
      <t xml:space="preserve">    Range(</t>
    </r>
    <r>
      <rPr>
        <sz val="10"/>
        <color rgb="FF365200"/>
        <rFont val="Consolas"/>
        <family val="3"/>
      </rPr>
      <t>"C3"</t>
    </r>
    <r>
      <rPr>
        <sz val="10"/>
        <color rgb="FF000000"/>
        <rFont val="Consolas"/>
        <family val="3"/>
      </rPr>
      <t xml:space="preserve">).Value = </t>
    </r>
    <r>
      <rPr>
        <sz val="10"/>
        <color rgb="FF365200"/>
        <rFont val="Consolas"/>
        <family val="3"/>
      </rPr>
      <t>"Return"</t>
    </r>
  </si>
  <si>
    <t>DAQO (Ticker: DQ)</t>
  </si>
  <si>
    <t>Year</t>
  </si>
  <si>
    <t>2018 Return</t>
  </si>
  <si>
    <t>2018 Total Daily Volume</t>
  </si>
  <si>
    <t>2017 Total Daily Volume</t>
  </si>
  <si>
    <t>2017 Return</t>
  </si>
  <si>
    <t>All Stocks (2017)</t>
  </si>
  <si>
    <t>&lt;100,000,000</t>
  </si>
  <si>
    <t>&gt;200,000,000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</si>
</sst>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sz val="10"/>
      <color rgb="FF005275"/>
      <name val="Consolas"/>
      <family val="3"/>
    </font>
    <font>
      <sz val="10"/>
      <color rgb="FF365200"/>
      <name val="Consolas"/>
      <family val="3"/>
    </font>
    <font>
      <sz val="10"/>
      <color rgb="FF990055"/>
      <name val="Consolas"/>
      <family val="3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5F2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7CDD1"/>
      </left>
      <right style="medium">
        <color rgb="FFC7CDD1"/>
      </right>
      <top style="medium">
        <color rgb="FFC7CDD1"/>
      </top>
      <bottom style="medium">
        <color rgb="FFC7CDD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3" fontId="0" fillId="0" borderId="0" xfId="0" applyNumberFormat="1"/>
    <xf numFmtId="164" fontId="0" fillId="3" borderId="0" xfId="0" applyNumberFormat="1" applyFill="1"/>
    <xf numFmtId="164" fontId="0" fillId="4" borderId="0" xfId="0" applyNumberFormat="1" applyFill="1"/>
    <xf numFmtId="0" fontId="1" fillId="0" borderId="3" xfId="0" applyFont="1" applyBorder="1"/>
    <xf numFmtId="0" fontId="1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3" fontId="0" fillId="5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450850</xdr:colOff>
          <xdr:row>2</xdr:row>
          <xdr:rowOff>107950</xdr:rowOff>
        </xdr:from>
        <xdr:to>
          <xdr:col>7</xdr:col>
          <xdr:colOff>165100</xdr:colOff>
          <xdr:row>5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7</xdr:row>
          <xdr:rowOff>139700</xdr:rowOff>
        </xdr:from>
        <xdr:to>
          <xdr:col>7</xdr:col>
          <xdr:colOff>254000</xdr:colOff>
          <xdr:row>9</xdr:row>
          <xdr:rowOff>177800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2</xdr:row>
          <xdr:rowOff>76200</xdr:rowOff>
        </xdr:from>
        <xdr:to>
          <xdr:col>8</xdr:col>
          <xdr:colOff>349250</xdr:colOff>
          <xdr:row>5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7</xdr:row>
          <xdr:rowOff>88900</xdr:rowOff>
        </xdr:from>
        <xdr:to>
          <xdr:col>8</xdr:col>
          <xdr:colOff>546100</xdr:colOff>
          <xdr:row>10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12</xdr:row>
          <xdr:rowOff>101600</xdr:rowOff>
        </xdr:from>
        <xdr:to>
          <xdr:col>7</xdr:col>
          <xdr:colOff>209550</xdr:colOff>
          <xdr:row>14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444500</xdr:colOff>
          <xdr:row>2</xdr:row>
          <xdr:rowOff>133350</xdr:rowOff>
        </xdr:from>
        <xdr:to>
          <xdr:col>14</xdr:col>
          <xdr:colOff>215900</xdr:colOff>
          <xdr:row>5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Refactored Analysis (Challenge)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" sqref="C1:C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509" sqref="G509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877A-B664-4FC7-9A72-94D70F6A0F34}">
  <sheetPr codeName="Sheet3"/>
  <dimension ref="A1:C3"/>
  <sheetViews>
    <sheetView workbookViewId="0">
      <selection activeCell="D7" sqref="D7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12.453125" bestFit="1" customWidth="1"/>
  </cols>
  <sheetData>
    <row r="1" spans="1:3" x14ac:dyDescent="0.35">
      <c r="A1" t="s">
        <v>534</v>
      </c>
    </row>
    <row r="3" spans="1:3" x14ac:dyDescent="0.35">
      <c r="A3" t="s">
        <v>535</v>
      </c>
      <c r="B3" t="s">
        <v>522</v>
      </c>
      <c r="C3" t="s">
        <v>523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DQAnalysis">
                <anchor moveWithCells="1">
                  <from>
                    <xdr:col>4</xdr:col>
                    <xdr:colOff>450850</xdr:colOff>
                    <xdr:row>2</xdr:row>
                    <xdr:rowOff>107950</xdr:rowOff>
                  </from>
                  <to>
                    <xdr:col>7</xdr:col>
                    <xdr:colOff>165100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>
                <anchor moveWithCells="1">
                  <from>
                    <xdr:col>5</xdr:col>
                    <xdr:colOff>203200</xdr:colOff>
                    <xdr:row>7</xdr:row>
                    <xdr:rowOff>139700</xdr:rowOff>
                  </from>
                  <to>
                    <xdr:col>7</xdr:col>
                    <xdr:colOff>254000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9C481-2CD2-44FE-B98B-D502B8B72351}">
  <sheetPr codeName="Sheet5"/>
  <dimension ref="A1:C15"/>
  <sheetViews>
    <sheetView tabSelected="1" workbookViewId="0">
      <selection activeCell="D2" sqref="D2"/>
    </sheetView>
  </sheetViews>
  <sheetFormatPr defaultRowHeight="14.5" x14ac:dyDescent="0.35"/>
  <cols>
    <col min="1" max="1" width="14.36328125" bestFit="1" customWidth="1"/>
    <col min="2" max="2" width="16.6328125" bestFit="1" customWidth="1"/>
    <col min="3" max="3" width="11" customWidth="1"/>
  </cols>
  <sheetData>
    <row r="1" spans="1:3" x14ac:dyDescent="0.35">
      <c r="A1" t="s">
        <v>540</v>
      </c>
    </row>
    <row r="3" spans="1:3" x14ac:dyDescent="0.35">
      <c r="A3" s="9" t="s">
        <v>0</v>
      </c>
      <c r="B3" s="9" t="s">
        <v>522</v>
      </c>
      <c r="C3" s="9" t="s">
        <v>523</v>
      </c>
    </row>
    <row r="4" spans="1:3" x14ac:dyDescent="0.35">
      <c r="A4" t="s">
        <v>8</v>
      </c>
      <c r="B4" s="6">
        <v>136070900</v>
      </c>
      <c r="C4" s="8">
        <v>8.9368253946304321E-2</v>
      </c>
    </row>
    <row r="5" spans="1:3" x14ac:dyDescent="0.35">
      <c r="A5" t="s">
        <v>9</v>
      </c>
      <c r="B5" s="6">
        <v>310592800</v>
      </c>
      <c r="C5" s="8">
        <v>0.33070248365402222</v>
      </c>
    </row>
    <row r="6" spans="1:3" x14ac:dyDescent="0.35">
      <c r="A6" t="s">
        <v>10</v>
      </c>
      <c r="B6" s="6">
        <v>35796200</v>
      </c>
      <c r="C6" s="8">
        <v>1.9944583177566528</v>
      </c>
    </row>
    <row r="7" spans="1:3" x14ac:dyDescent="0.35">
      <c r="A7" t="s">
        <v>11</v>
      </c>
      <c r="B7" s="6">
        <v>221772100</v>
      </c>
      <c r="C7" s="8">
        <v>1.2952382564544678</v>
      </c>
    </row>
    <row r="8" spans="1:3" x14ac:dyDescent="0.35">
      <c r="A8" t="s">
        <v>12</v>
      </c>
      <c r="B8" s="6">
        <v>684181400</v>
      </c>
      <c r="C8" s="8">
        <v>1.0131185054779053</v>
      </c>
    </row>
    <row r="9" spans="1:3" x14ac:dyDescent="0.35">
      <c r="A9" t="s">
        <v>13</v>
      </c>
      <c r="B9" s="6">
        <v>80949300</v>
      </c>
      <c r="C9" s="8">
        <v>0.2583681046962738</v>
      </c>
    </row>
    <row r="10" spans="1:3" x14ac:dyDescent="0.35">
      <c r="A10" t="s">
        <v>14</v>
      </c>
      <c r="B10" s="6">
        <v>191632200</v>
      </c>
      <c r="C10" s="8">
        <v>0.53870755434036255</v>
      </c>
    </row>
    <row r="11" spans="1:3" x14ac:dyDescent="0.35">
      <c r="A11" t="s">
        <v>15</v>
      </c>
      <c r="B11" s="6">
        <v>267681300</v>
      </c>
      <c r="C11" s="8">
        <v>5.5456161499023438E-2</v>
      </c>
    </row>
    <row r="12" spans="1:3" x14ac:dyDescent="0.35">
      <c r="A12" t="s">
        <v>16</v>
      </c>
      <c r="B12" s="6">
        <v>206885200</v>
      </c>
      <c r="C12" s="8">
        <v>1.8446969985961914</v>
      </c>
    </row>
    <row r="13" spans="1:3" x14ac:dyDescent="0.35">
      <c r="A13" t="s">
        <v>17</v>
      </c>
      <c r="B13" s="6">
        <v>782187000</v>
      </c>
      <c r="C13" s="8">
        <v>0.23065699636936188</v>
      </c>
    </row>
    <row r="14" spans="1:3" x14ac:dyDescent="0.35">
      <c r="A14" t="s">
        <v>18</v>
      </c>
      <c r="B14" s="6">
        <v>139402800</v>
      </c>
      <c r="C14" s="7">
        <v>-7.2148971259593964E-2</v>
      </c>
    </row>
    <row r="15" spans="1:3" x14ac:dyDescent="0.3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>
                  <from>
                    <xdr:col>4</xdr:col>
                    <xdr:colOff>203200</xdr:colOff>
                    <xdr:row>2</xdr:row>
                    <xdr:rowOff>76200</xdr:rowOff>
                  </from>
                  <to>
                    <xdr:col>8</xdr:col>
                    <xdr:colOff>349250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AllStocksAnalysisTable">
                <anchor moveWithCells="1">
                  <from>
                    <xdr:col>4</xdr:col>
                    <xdr:colOff>190500</xdr:colOff>
                    <xdr:row>7</xdr:row>
                    <xdr:rowOff>88900</xdr:rowOff>
                  </from>
                  <to>
                    <xdr:col>8</xdr:col>
                    <xdr:colOff>546100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133350</xdr:colOff>
                    <xdr:row>12</xdr:row>
                    <xdr:rowOff>101600</xdr:rowOff>
                  </from>
                  <to>
                    <xdr:col>7</xdr:col>
                    <xdr:colOff>209550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>
                  <from>
                    <xdr:col>9</xdr:col>
                    <xdr:colOff>444500</xdr:colOff>
                    <xdr:row>2</xdr:row>
                    <xdr:rowOff>133350</xdr:rowOff>
                  </from>
                  <to>
                    <xdr:col>14</xdr:col>
                    <xdr:colOff>215900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BDB2-B212-470E-AE38-29320B6BE1D0}">
  <sheetPr codeName="Sheet4"/>
  <dimension ref="A1:A19"/>
  <sheetViews>
    <sheetView workbookViewId="0">
      <selection activeCell="D19" sqref="D19"/>
    </sheetView>
  </sheetViews>
  <sheetFormatPr defaultRowHeight="14.5" x14ac:dyDescent="0.35"/>
  <sheetData>
    <row r="1" spans="1:1" ht="15" thickBot="1" x14ac:dyDescent="0.4">
      <c r="A1" s="2" t="s">
        <v>524</v>
      </c>
    </row>
    <row r="2" spans="1:1" ht="15" thickBot="1" x14ac:dyDescent="0.4">
      <c r="A2" s="3" t="s">
        <v>525</v>
      </c>
    </row>
    <row r="3" spans="1:1" ht="15" thickBot="1" x14ac:dyDescent="0.4">
      <c r="A3" s="4"/>
    </row>
    <row r="4" spans="1:1" ht="15" thickBot="1" x14ac:dyDescent="0.4">
      <c r="A4" s="3" t="s">
        <v>526</v>
      </c>
    </row>
    <row r="5" spans="1:1" ht="15" thickBot="1" x14ac:dyDescent="0.4">
      <c r="A5" s="4"/>
    </row>
    <row r="6" spans="1:1" ht="15" thickBot="1" x14ac:dyDescent="0.4">
      <c r="A6" s="3" t="s">
        <v>527</v>
      </c>
    </row>
    <row r="7" spans="1:1" ht="15" thickBot="1" x14ac:dyDescent="0.4">
      <c r="A7" s="3" t="s">
        <v>528</v>
      </c>
    </row>
    <row r="8" spans="1:1" ht="15" thickBot="1" x14ac:dyDescent="0.4">
      <c r="A8" s="3" t="s">
        <v>529</v>
      </c>
    </row>
    <row r="9" spans="1:1" ht="15" thickBot="1" x14ac:dyDescent="0.4">
      <c r="A9" s="5" t="s">
        <v>530</v>
      </c>
    </row>
    <row r="10" spans="1:1" ht="15" thickBot="1" x14ac:dyDescent="0.4"/>
    <row r="11" spans="1:1" ht="15" thickBot="1" x14ac:dyDescent="0.4">
      <c r="A11" s="2" t="s">
        <v>524</v>
      </c>
    </row>
    <row r="12" spans="1:1" ht="15" thickBot="1" x14ac:dyDescent="0.4">
      <c r="A12" s="3" t="s">
        <v>525</v>
      </c>
    </row>
    <row r="13" spans="1:1" ht="15" thickBot="1" x14ac:dyDescent="0.4">
      <c r="A13" s="4"/>
    </row>
    <row r="14" spans="1:1" ht="15" thickBot="1" x14ac:dyDescent="0.4">
      <c r="A14" s="3" t="s">
        <v>526</v>
      </c>
    </row>
    <row r="15" spans="1:1" ht="15" thickBot="1" x14ac:dyDescent="0.4">
      <c r="A15" s="4"/>
    </row>
    <row r="16" spans="1:1" ht="15" thickBot="1" x14ac:dyDescent="0.4">
      <c r="A16" s="3" t="s">
        <v>531</v>
      </c>
    </row>
    <row r="17" spans="1:1" ht="15" thickBot="1" x14ac:dyDescent="0.4">
      <c r="A17" s="3" t="s">
        <v>532</v>
      </c>
    </row>
    <row r="18" spans="1:1" ht="15" thickBot="1" x14ac:dyDescent="0.4">
      <c r="A18" s="3" t="s">
        <v>533</v>
      </c>
    </row>
    <row r="19" spans="1:1" ht="15" thickBot="1" x14ac:dyDescent="0.4">
      <c r="A19" s="5" t="s">
        <v>530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A95E1-50EC-4CF9-BF47-AF291C747DE3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3AD43-6783-47AA-A983-367F60CC6962}">
  <sheetPr codeName="Sheet7"/>
  <dimension ref="A1:H13"/>
  <sheetViews>
    <sheetView workbookViewId="0">
      <selection activeCell="G16" sqref="G16"/>
    </sheetView>
  </sheetViews>
  <sheetFormatPr defaultRowHeight="14.5" x14ac:dyDescent="0.35"/>
  <cols>
    <col min="1" max="1" width="5.81640625" style="15" bestFit="1" customWidth="1"/>
    <col min="2" max="2" width="21.26953125" style="11" bestFit="1" customWidth="1"/>
    <col min="3" max="3" width="11" style="11" bestFit="1" customWidth="1"/>
    <col min="4" max="4" width="21.26953125" style="11" bestFit="1" customWidth="1"/>
    <col min="5" max="5" width="11" style="11" bestFit="1" customWidth="1"/>
    <col min="7" max="7" width="11.36328125" bestFit="1" customWidth="1"/>
  </cols>
  <sheetData>
    <row r="1" spans="1:8" x14ac:dyDescent="0.35">
      <c r="A1" s="10" t="s">
        <v>0</v>
      </c>
      <c r="B1" s="10" t="s">
        <v>538</v>
      </c>
      <c r="C1" s="10" t="s">
        <v>539</v>
      </c>
      <c r="D1" s="10" t="s">
        <v>537</v>
      </c>
      <c r="E1" s="10" t="s">
        <v>536</v>
      </c>
    </row>
    <row r="2" spans="1:8" x14ac:dyDescent="0.35">
      <c r="A2" s="15" t="s">
        <v>8</v>
      </c>
      <c r="B2" s="12">
        <v>136070900</v>
      </c>
      <c r="C2" s="13">
        <v>8.9368253946304321E-2</v>
      </c>
      <c r="D2" s="12">
        <v>83079900</v>
      </c>
      <c r="E2" s="14">
        <v>-7.2847634553909302E-2</v>
      </c>
      <c r="G2" s="6">
        <f>D2-B2</f>
        <v>-52991000</v>
      </c>
    </row>
    <row r="3" spans="1:8" x14ac:dyDescent="0.35">
      <c r="A3" s="15" t="s">
        <v>9</v>
      </c>
      <c r="B3" s="12">
        <v>310592800</v>
      </c>
      <c r="C3" s="13">
        <v>0.33070248365402222</v>
      </c>
      <c r="D3" s="12">
        <v>200879900</v>
      </c>
      <c r="E3" s="14">
        <v>-0.16336052119731903</v>
      </c>
      <c r="G3" s="6">
        <f t="shared" ref="G3:G13" si="0">D3-B3</f>
        <v>-109712900</v>
      </c>
    </row>
    <row r="4" spans="1:8" x14ac:dyDescent="0.35">
      <c r="A4" s="15" t="s">
        <v>10</v>
      </c>
      <c r="B4" s="12">
        <v>35796200</v>
      </c>
      <c r="C4" s="13">
        <v>1.9944583177566528</v>
      </c>
      <c r="D4" s="12">
        <v>107873900</v>
      </c>
      <c r="E4" s="14">
        <v>-0.62601888179779053</v>
      </c>
      <c r="G4" s="16">
        <f t="shared" si="0"/>
        <v>72077700</v>
      </c>
      <c r="H4" t="s">
        <v>541</v>
      </c>
    </row>
    <row r="5" spans="1:8" x14ac:dyDescent="0.35">
      <c r="A5" s="15" t="s">
        <v>11</v>
      </c>
      <c r="B5" s="12">
        <v>221772100</v>
      </c>
      <c r="C5" s="13">
        <v>1.2952382564544678</v>
      </c>
      <c r="D5" s="12">
        <v>607473500</v>
      </c>
      <c r="E5" s="13">
        <v>0.81923085451126099</v>
      </c>
      <c r="G5" s="6">
        <f t="shared" si="0"/>
        <v>385701400</v>
      </c>
      <c r="H5" t="s">
        <v>542</v>
      </c>
    </row>
    <row r="6" spans="1:8" x14ac:dyDescent="0.35">
      <c r="A6" s="15" t="s">
        <v>12</v>
      </c>
      <c r="B6" s="12">
        <v>684181400</v>
      </c>
      <c r="C6" s="13">
        <v>1.0131185054779053</v>
      </c>
      <c r="D6" s="12">
        <v>478113900</v>
      </c>
      <c r="E6" s="14">
        <v>-0.39713191986083984</v>
      </c>
      <c r="G6" s="6">
        <f t="shared" si="0"/>
        <v>-206067500</v>
      </c>
    </row>
    <row r="7" spans="1:8" x14ac:dyDescent="0.35">
      <c r="A7" s="15" t="s">
        <v>13</v>
      </c>
      <c r="B7" s="12">
        <v>80949300</v>
      </c>
      <c r="C7" s="13">
        <v>0.2583681046962738</v>
      </c>
      <c r="D7" s="12">
        <v>104340600</v>
      </c>
      <c r="E7" s="14">
        <v>-0.20658062398433685</v>
      </c>
      <c r="G7" s="16">
        <f t="shared" si="0"/>
        <v>23391300</v>
      </c>
      <c r="H7" t="s">
        <v>541</v>
      </c>
    </row>
    <row r="8" spans="1:8" x14ac:dyDescent="0.35">
      <c r="A8" s="15" t="s">
        <v>14</v>
      </c>
      <c r="B8" s="12">
        <v>191632200</v>
      </c>
      <c r="C8" s="13">
        <v>0.53870755434036255</v>
      </c>
      <c r="D8" s="12">
        <v>158309000</v>
      </c>
      <c r="E8" s="14">
        <v>-0.6053471565246582</v>
      </c>
      <c r="G8" s="6">
        <f t="shared" si="0"/>
        <v>-33323200</v>
      </c>
    </row>
    <row r="9" spans="1:8" x14ac:dyDescent="0.35">
      <c r="A9" s="15" t="s">
        <v>15</v>
      </c>
      <c r="B9" s="12">
        <v>267681300</v>
      </c>
      <c r="C9" s="13">
        <v>5.5456161499023438E-2</v>
      </c>
      <c r="D9" s="12">
        <v>502757100</v>
      </c>
      <c r="E9" s="13">
        <v>0.83952707052230835</v>
      </c>
      <c r="G9" s="6">
        <f t="shared" si="0"/>
        <v>235075800</v>
      </c>
      <c r="H9" t="s">
        <v>542</v>
      </c>
    </row>
    <row r="10" spans="1:8" x14ac:dyDescent="0.35">
      <c r="A10" s="15" t="s">
        <v>16</v>
      </c>
      <c r="B10" s="12">
        <v>206885200</v>
      </c>
      <c r="C10" s="13">
        <v>1.8446969985961914</v>
      </c>
      <c r="D10" s="12">
        <v>237212300</v>
      </c>
      <c r="E10" s="14">
        <v>-7.7529586851596832E-2</v>
      </c>
      <c r="G10" s="16">
        <f t="shared" si="0"/>
        <v>30327100</v>
      </c>
      <c r="H10" t="s">
        <v>541</v>
      </c>
    </row>
    <row r="11" spans="1:8" x14ac:dyDescent="0.35">
      <c r="A11" s="15" t="s">
        <v>17</v>
      </c>
      <c r="B11" s="12">
        <v>782187000</v>
      </c>
      <c r="C11" s="13">
        <v>0.23065699636936188</v>
      </c>
      <c r="D11" s="12">
        <v>538024300</v>
      </c>
      <c r="E11" s="14">
        <v>-0.44593092799186707</v>
      </c>
      <c r="G11" s="6">
        <f t="shared" si="0"/>
        <v>-244162700</v>
      </c>
    </row>
    <row r="12" spans="1:8" x14ac:dyDescent="0.35">
      <c r="A12" s="15" t="s">
        <v>18</v>
      </c>
      <c r="B12" s="12">
        <v>139402800</v>
      </c>
      <c r="C12" s="14">
        <v>-7.2148971259593964E-2</v>
      </c>
      <c r="D12" s="12">
        <v>151434700</v>
      </c>
      <c r="E12" s="14">
        <v>-4.9957673996686935E-2</v>
      </c>
      <c r="G12" s="16">
        <f t="shared" si="0"/>
        <v>12031900</v>
      </c>
      <c r="H12" t="s">
        <v>541</v>
      </c>
    </row>
    <row r="13" spans="1:8" x14ac:dyDescent="0.35">
      <c r="A13" s="15" t="s">
        <v>19</v>
      </c>
      <c r="B13" s="12">
        <v>109487900</v>
      </c>
      <c r="C13" s="13">
        <v>0.50000005960464478</v>
      </c>
      <c r="D13" s="12">
        <v>136539100</v>
      </c>
      <c r="E13" s="14">
        <v>-3.5443063825368881E-2</v>
      </c>
      <c r="G13" s="16">
        <f t="shared" si="0"/>
        <v>27051200</v>
      </c>
      <c r="H13" t="s">
        <v>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Methods</vt:lpstr>
      <vt:lpstr>Pics</vt:lpstr>
      <vt:lpstr>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 Pyle</dc:creator>
  <cp:lastModifiedBy>Julie Pyle</cp:lastModifiedBy>
  <dcterms:created xsi:type="dcterms:W3CDTF">2019-05-02T20:23:55Z</dcterms:created>
  <dcterms:modified xsi:type="dcterms:W3CDTF">2020-10-11T08:15:31Z</dcterms:modified>
</cp:coreProperties>
</file>